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334c694b7badcc/Desktop/"/>
    </mc:Choice>
  </mc:AlternateContent>
  <xr:revisionPtr revIDLastSave="0" documentId="8_{2B64C85B-DD27-43AF-95E8-B22886CB346B}" xr6:coauthVersionLast="47" xr6:coauthVersionMax="47" xr10:uidLastSave="{00000000-0000-0000-0000-000000000000}"/>
  <bookViews>
    <workbookView xWindow="-105" yWindow="0" windowWidth="19410" windowHeight="15585" xr2:uid="{B23973CC-8B46-4540-A937-AE200A4FD715}"/>
  </bookViews>
  <sheets>
    <sheet name="Sheet1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N6" i="1"/>
  <c r="N5" i="1"/>
  <c r="N4" i="1"/>
  <c r="N3" i="1"/>
  <c r="N2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<sst xmlns="http://schemas.openxmlformats.org/spreadsheetml/2006/main" count="30" uniqueCount="23">
  <si>
    <t>Roll No</t>
  </si>
  <si>
    <t>Name</t>
  </si>
  <si>
    <t>Subject 1</t>
  </si>
  <si>
    <t>Subject 2</t>
  </si>
  <si>
    <t>Subject 3</t>
  </si>
  <si>
    <t>Subject 4</t>
  </si>
  <si>
    <t>Subject 5</t>
  </si>
  <si>
    <t>Amit</t>
  </si>
  <si>
    <t>Priya</t>
  </si>
  <si>
    <t>Rahul</t>
  </si>
  <si>
    <t>Sneha</t>
  </si>
  <si>
    <t>Karan</t>
  </si>
  <si>
    <t>Total</t>
  </si>
  <si>
    <t>Percentage</t>
  </si>
  <si>
    <t>Grade</t>
  </si>
  <si>
    <t xml:space="preserve"> Result</t>
  </si>
  <si>
    <t>Metric</t>
  </si>
  <si>
    <t xml:space="preserve"> Total Students</t>
  </si>
  <si>
    <t>Passed</t>
  </si>
  <si>
    <t>Failed</t>
  </si>
  <si>
    <t>Highest Percentage</t>
  </si>
  <si>
    <t xml:space="preserve"> Average Percentage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</si>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</sst>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Sheet1!$B$2:$B$6</c:f>
              <c:strCache>
                <c:ptCount val="5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  <c:pt idx="4">
                  <c:v>Karan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81</c:v>
                </c:pt>
                <c:pt idx="1">
                  <c:v>91.8</c:v>
                </c:pt>
                <c:pt idx="2">
                  <c:v>52</c:v>
                </c:pt>
                <c:pt idx="3">
                  <c:v>38.200000000000003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2-47A4-908A-B55E1540D2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9914287"/>
        <c:axId val="2019914767"/>
      </c:barChart>
      <c:catAx>
        <c:axId val="20199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14767"/>
        <c:crosses val="autoZero"/>
        <c:auto val="1"/>
        <c:lblAlgn val="ctr"/>
        <c:lblOffset val="100"/>
        <c:noMultiLvlLbl val="0"/>
      </c:catAx>
      <c:valAx>
        <c:axId val="201991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1D7D6-DF66-4BF8-907F-8AFE90081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ABDA-0511-4B24-B2C3-47739B861A35}">
  <dimension ref="A1:R6"/>
  <sheetViews>
    <sheetView tabSelected="1" topLeftCell="M1" workbookViewId="0">
      <selection activeCell="V15" sqref="V15"/>
    </sheetView>
  </sheetViews>
  <sheetFormatPr defaultRowHeight="15" x14ac:dyDescent="0.25"/>
  <cols>
    <col min="1" max="12" width="9.140625" style="4"/>
    <col min="13" max="13" width="18" style="4" customWidth="1"/>
    <col min="14" max="16384" width="9.140625" style="4"/>
  </cols>
  <sheetData>
    <row r="1" spans="1:1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</v>
      </c>
      <c r="I1" s="2" t="s">
        <v>13</v>
      </c>
      <c r="J1" s="2" t="s">
        <v>14</v>
      </c>
      <c r="K1" s="2" t="s">
        <v>15</v>
      </c>
      <c r="L1" s="2"/>
      <c r="M1" s="3" t="s">
        <v>16</v>
      </c>
      <c r="N1" s="3" t="s">
        <v>22</v>
      </c>
      <c r="O1" s="2"/>
      <c r="P1" s="2"/>
      <c r="Q1" s="2"/>
      <c r="R1" s="2"/>
    </row>
    <row r="2" spans="1:18" x14ac:dyDescent="0.25">
      <c r="A2" s="1">
        <v>101</v>
      </c>
      <c r="B2" s="1" t="s">
        <v>7</v>
      </c>
      <c r="C2" s="1">
        <v>78</v>
      </c>
      <c r="D2" s="1">
        <v>85</v>
      </c>
      <c r="E2" s="1">
        <v>90</v>
      </c>
      <c r="F2" s="1">
        <v>72</v>
      </c>
      <c r="G2" s="1">
        <v>80</v>
      </c>
      <c r="H2" s="1">
        <f>SUM(C2:G2)</f>
        <v>405</v>
      </c>
      <c r="I2" s="1">
        <f>H2/5</f>
        <v>81</v>
      </c>
      <c r="J2" s="1" t="str">
        <f>IF(I2&gt;=90,"A+",IF(I2&gt;=75,"A",IF(I2&gt;=60,"B",IF(I2&gt;=40,"C","F"))))</f>
        <v>A</v>
      </c>
      <c r="K2" s="1" t="str">
        <f>IF(I2&gt;=40,"Pass","Fail")</f>
        <v>Pass</v>
      </c>
      <c r="M2" s="4" t="s">
        <v>17</v>
      </c>
      <c r="N2" s="4">
        <f>COUNTA(B2:B6)</f>
        <v>5</v>
      </c>
    </row>
    <row r="3" spans="1:18" x14ac:dyDescent="0.25">
      <c r="A3" s="1">
        <v>102</v>
      </c>
      <c r="B3" s="1" t="s">
        <v>8</v>
      </c>
      <c r="C3" s="1">
        <v>92</v>
      </c>
      <c r="D3" s="1">
        <v>88</v>
      </c>
      <c r="E3" s="1">
        <v>95</v>
      </c>
      <c r="F3" s="1">
        <v>90</v>
      </c>
      <c r="G3" s="1">
        <v>94</v>
      </c>
      <c r="H3" s="1">
        <f t="shared" ref="H3:H6" si="0">SUM(C3:G3)</f>
        <v>459</v>
      </c>
      <c r="I3" s="1">
        <f t="shared" ref="I3:I6" si="1">H3/5</f>
        <v>91.8</v>
      </c>
      <c r="J3" s="1" t="str">
        <f t="shared" ref="J3:J6" si="2">IF(I3&gt;=90,"A+",IF(I3&gt;=75,"A",IF(I3&gt;=60,"B",IF(I3&gt;=40,"C","F"))))</f>
        <v>A+</v>
      </c>
      <c r="K3" s="1" t="str">
        <f t="shared" ref="K3:K6" si="3">IF(I3&gt;=40,"Pass","Fail")</f>
        <v>Pass</v>
      </c>
      <c r="M3" s="4" t="s">
        <v>18</v>
      </c>
      <c r="N3" s="4">
        <f>COUNTIF(K2:K6,"Pass")</f>
        <v>4</v>
      </c>
    </row>
    <row r="4" spans="1:18" x14ac:dyDescent="0.25">
      <c r="A4" s="1">
        <v>103</v>
      </c>
      <c r="B4" s="1" t="s">
        <v>9</v>
      </c>
      <c r="C4" s="1">
        <v>45</v>
      </c>
      <c r="D4" s="1">
        <v>52</v>
      </c>
      <c r="E4" s="1">
        <v>60</v>
      </c>
      <c r="F4" s="1">
        <v>48</v>
      </c>
      <c r="G4" s="1">
        <v>55</v>
      </c>
      <c r="H4" s="1">
        <f t="shared" si="0"/>
        <v>260</v>
      </c>
      <c r="I4" s="1">
        <f t="shared" si="1"/>
        <v>52</v>
      </c>
      <c r="J4" s="1" t="str">
        <f t="shared" si="2"/>
        <v>C</v>
      </c>
      <c r="K4" s="1" t="str">
        <f t="shared" si="3"/>
        <v>Pass</v>
      </c>
      <c r="M4" s="4" t="s">
        <v>19</v>
      </c>
      <c r="N4" s="4">
        <f>COUNTIF(K2:K6,"Fail")</f>
        <v>1</v>
      </c>
    </row>
    <row r="5" spans="1:18" x14ac:dyDescent="0.25">
      <c r="A5" s="1">
        <v>104</v>
      </c>
      <c r="B5" s="1" t="s">
        <v>10</v>
      </c>
      <c r="C5" s="1">
        <v>35</v>
      </c>
      <c r="D5" s="1">
        <v>42</v>
      </c>
      <c r="E5" s="1">
        <v>38</v>
      </c>
      <c r="F5" s="1">
        <v>40</v>
      </c>
      <c r="G5" s="1">
        <v>36</v>
      </c>
      <c r="H5" s="1">
        <f t="shared" si="0"/>
        <v>191</v>
      </c>
      <c r="I5" s="1">
        <f t="shared" si="1"/>
        <v>38.200000000000003</v>
      </c>
      <c r="J5" s="1" t="str">
        <f t="shared" si="2"/>
        <v>F</v>
      </c>
      <c r="K5" s="1" t="str">
        <f t="shared" si="3"/>
        <v>Fail</v>
      </c>
      <c r="M5" s="4" t="s">
        <v>20</v>
      </c>
      <c r="N5" s="4">
        <f>MAX(I2:I6)</f>
        <v>91.8</v>
      </c>
    </row>
    <row r="6" spans="1:18" x14ac:dyDescent="0.25">
      <c r="A6" s="1">
        <v>105</v>
      </c>
      <c r="B6" s="1" t="s">
        <v>11</v>
      </c>
      <c r="C6" s="1">
        <v>65</v>
      </c>
      <c r="D6" s="1">
        <v>70</v>
      </c>
      <c r="E6" s="1">
        <v>68</v>
      </c>
      <c r="F6" s="1">
        <v>72</v>
      </c>
      <c r="G6" s="1">
        <v>75</v>
      </c>
      <c r="H6" s="1">
        <f t="shared" si="0"/>
        <v>350</v>
      </c>
      <c r="I6" s="1">
        <f t="shared" si="1"/>
        <v>70</v>
      </c>
      <c r="J6" s="1" t="str">
        <f t="shared" si="2"/>
        <v>B</v>
      </c>
      <c r="K6" s="1" t="str">
        <f t="shared" si="3"/>
        <v>Pass</v>
      </c>
      <c r="M6" s="4" t="s">
        <v>21</v>
      </c>
      <c r="N6" s="4">
        <f>AVERAGE(I2:I6)</f>
        <v>66.599999999999994</v>
      </c>
    </row>
  </sheetData>
  <conditionalFormatting sqref="K1:K1048576">
    <cfRule type="containsText" dxfId="0" priority="2" operator="containsText" text="Fail">
      <formula>NOT(ISERROR(SEARCH("Fail",K1)))</formula>
    </cfRule>
    <cfRule type="containsText" dxfId="1" priority="1" operator="containsText" text="Pass">
      <formula>NOT(ISERROR(SEARCH("Pass",K1)))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DDA3-9E27-41BE-B74D-3451CCB5B19F}">
  <dimension ref="A1:B6"/>
  <sheetViews>
    <sheetView workbookViewId="0">
      <selection activeCell="B6" sqref="B6"/>
    </sheetView>
  </sheetViews>
  <sheetFormatPr defaultRowHeight="15" x14ac:dyDescent="0.25"/>
  <cols>
    <col min="1" max="1" width="18.28515625" customWidth="1"/>
  </cols>
  <sheetData>
    <row r="1" spans="1:2" x14ac:dyDescent="0.25">
      <c r="A1" s="3" t="s">
        <v>16</v>
      </c>
      <c r="B1" s="3" t="s">
        <v>22</v>
      </c>
    </row>
    <row r="2" spans="1:2" x14ac:dyDescent="0.25">
      <c r="A2" s="4" t="s">
        <v>17</v>
      </c>
      <c r="B2" s="4">
        <f>COUNTA(Sheet1!B2:B6)</f>
        <v>5</v>
      </c>
    </row>
    <row r="3" spans="1:2" x14ac:dyDescent="0.25">
      <c r="A3" s="4" t="s">
        <v>18</v>
      </c>
      <c r="B3" s="4">
        <f>COUNTIF(Sheet1!K2:K6,"Pass")</f>
        <v>4</v>
      </c>
    </row>
    <row r="4" spans="1:2" x14ac:dyDescent="0.25">
      <c r="A4" s="4" t="s">
        <v>19</v>
      </c>
      <c r="B4" s="4">
        <f>COUNTIF(Sheet1!K2:K6,"Fail")</f>
        <v>1</v>
      </c>
    </row>
    <row r="5" spans="1:2" x14ac:dyDescent="0.25">
      <c r="A5" s="4" t="s">
        <v>20</v>
      </c>
      <c r="B5" s="4">
        <f>MAX(Sheet1!I2:I6)</f>
        <v>91.8</v>
      </c>
    </row>
    <row r="6" spans="1:2" x14ac:dyDescent="0.25">
      <c r="A6" s="4" t="s">
        <v>21</v>
      </c>
      <c r="B6" s="4">
        <f>AVERAGE(Sheet1!I2:I6)</f>
        <v>66.599999999999994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Varale</dc:creator>
  <cp:lastModifiedBy>Rutuja Varale</cp:lastModifiedBy>
  <dcterms:created xsi:type="dcterms:W3CDTF">2026-06-01T20:20:20Z</dcterms:created>
  <dcterms:modified xsi:type="dcterms:W3CDTF">2026-06-01T20:55:02Z</dcterms:modified>
</cp:coreProperties>
</file>